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ms FX\Documents\"/>
    </mc:Choice>
  </mc:AlternateContent>
  <bookViews>
    <workbookView xWindow="0" yWindow="0" windowWidth="14380" windowHeight="4100" activeTab="3"/>
  </bookViews>
  <sheets>
    <sheet name="raw data" sheetId="1" r:id="rId1"/>
    <sheet name="clean data" sheetId="2" r:id="rId2"/>
    <sheet name="pivot tables" sheetId="3" r:id="rId3"/>
    <sheet name="dashboard" sheetId="4" r:id="rId4"/>
  </sheets>
  <definedNames>
    <definedName name="Slicer_Pair">#N/A</definedName>
    <definedName name="Slicer_Result">#N/A</definedName>
    <definedName name="Slicer_Stragety">#N/A</definedName>
  </definedNames>
  <calcPr calcId="162913"/>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1" l="1"/>
  <c r="J3" i="1"/>
  <c r="J4" i="1"/>
</calcChain>
</file>

<file path=xl/sharedStrings.xml><?xml version="1.0" encoding="utf-8"?>
<sst xmlns="http://schemas.openxmlformats.org/spreadsheetml/2006/main" count="202" uniqueCount="28">
  <si>
    <t>Data</t>
  </si>
  <si>
    <t>Pair</t>
  </si>
  <si>
    <t>Trade Type</t>
  </si>
  <si>
    <t>Entery Price</t>
  </si>
  <si>
    <t>Exit Price</t>
  </si>
  <si>
    <t>Lot Size</t>
  </si>
  <si>
    <t>Risk %</t>
  </si>
  <si>
    <t>Profit/Loss</t>
  </si>
  <si>
    <t>Stragety</t>
  </si>
  <si>
    <t>Result</t>
  </si>
  <si>
    <t>BTC/USD</t>
  </si>
  <si>
    <t>XAUUSD</t>
  </si>
  <si>
    <t>EURUSD</t>
  </si>
  <si>
    <t>Buy</t>
  </si>
  <si>
    <t>Sell</t>
  </si>
  <si>
    <t>Breakout</t>
  </si>
  <si>
    <t>Reversal</t>
  </si>
  <si>
    <t>Scalping</t>
  </si>
  <si>
    <t>Win</t>
  </si>
  <si>
    <t>Loss</t>
  </si>
  <si>
    <t>20/12/2026</t>
  </si>
  <si>
    <t>13/11/2026</t>
  </si>
  <si>
    <t>Date</t>
  </si>
  <si>
    <t>Row Labels</t>
  </si>
  <si>
    <t>Grand Total</t>
  </si>
  <si>
    <t>Sum of Profit/Loss</t>
  </si>
  <si>
    <t>Count of Result</t>
  </si>
  <si>
    <t>Crypto Trading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</si>
</sst>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28"/>
      <color theme="6" tint="0.79998168889431442"/>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499984740745262"/>
        <bgColor indexed="64"/>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14" fontId="0" fillId="0" borderId="0" xfId="0" applyNumberFormat="1"/>
    <xf numFmtId="14" fontId="0" fillId="2" borderId="1" xfId="0" applyNumberFormat="1" applyFont="1" applyFill="1" applyBorder="1"/>
    <xf numFmtId="14" fontId="0" fillId="0" borderId="1" xfId="0" applyNumberFormat="1" applyFont="1" applyBorder="1"/>
    <xf numFmtId="0" fontId="0" fillId="0" borderId="0" xfId="0" pivotButton="1"/>
    <xf numFmtId="0" fontId="0" fillId="0" borderId="0" xfId="0" applyAlignment="1">
      <alignment horizontal="left"/>
    </xf>
    <xf numFmtId="0" fontId="0" fillId="0" borderId="0" xfId="0" applyNumberFormat="1"/>
    <xf numFmtId="0" fontId="0" fillId="3" borderId="0" xfId="0" applyFill="1" applyAlignment="1">
      <alignment horizontal="center"/>
    </xf>
    <xf numFmtId="0" fontId="0" fillId="3" borderId="0" xfId="0" applyFill="1"/>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 Trading performance dashboard project.xlsx]pivot tables!PivotTable11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'pivot tables'!$B$9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tables'!$A$10:$A$12</c:f>
              <c:strCache>
                <c:ptCount val="2"/>
                <c:pt idx="0">
                  <c:v>Loss</c:v>
                </c:pt>
                <c:pt idx="1">
                  <c:v>Win</c:v>
                </c:pt>
              </c:strCache>
            </c:strRef>
          </c:cat>
          <c:val>
            <c:numRef>
              <c:f>'pivot tables'!$B$10:$B$12</c:f>
              <c:numCache>
                <c:formatCode>General</c:formatCode>
                <c:ptCount val="2"/>
                <c:pt idx="0">
                  <c:v>10</c:v>
                </c:pt>
                <c:pt idx="1">
                  <c:v>12</c:v>
                </c:pt>
              </c:numCache>
            </c:numRef>
          </c:val>
          <c:extLst>
            <c:ext xmlns:c16="http://schemas.microsoft.com/office/drawing/2014/chart" uri="{C3380CC4-5D6E-409C-BE32-E72D297353CC}">
              <c16:uniqueId val="{00000000-0F8A-4099-9DC2-E93BE9F2CCB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 Trading performance dashboard project.xlsx]pivot tables!PivotTable12</c:name>
    <c:fmtId val="21"/>
  </c:pivotSource>
  <c:chart>
    <c:title>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92123076028239"/>
          <c:y val="0.35690837397275421"/>
          <c:w val="0.60013465075868289"/>
          <c:h val="0.40733794391145722"/>
        </c:manualLayout>
      </c:layout>
      <c:bar3DChart>
        <c:barDir val="col"/>
        <c:grouping val="standard"/>
        <c:varyColors val="0"/>
        <c:ser>
          <c:idx val="0"/>
          <c:order val="0"/>
          <c:tx>
            <c:strRef>
              <c:f>'pivot tables'!$B$14</c:f>
              <c:strCache>
                <c:ptCount val="1"/>
                <c:pt idx="0">
                  <c:v>Total</c:v>
                </c:pt>
              </c:strCache>
            </c:strRef>
          </c:tx>
          <c:spPr>
            <a:solidFill>
              <a:schemeClr val="accent1"/>
            </a:solidFill>
            <a:ln>
              <a:noFill/>
            </a:ln>
            <a:effectLst/>
            <a:sp3d/>
          </c:spPr>
          <c:invertIfNegative val="0"/>
          <c:cat>
            <c:strRef>
              <c:f>'pivot tables'!$A$15:$A$18</c:f>
              <c:strCache>
                <c:ptCount val="3"/>
                <c:pt idx="0">
                  <c:v>Breakout</c:v>
                </c:pt>
                <c:pt idx="1">
                  <c:v>Reversal</c:v>
                </c:pt>
                <c:pt idx="2">
                  <c:v>Scalping</c:v>
                </c:pt>
              </c:strCache>
            </c:strRef>
          </c:cat>
          <c:val>
            <c:numRef>
              <c:f>'pivot tables'!$B$15:$B$18</c:f>
              <c:numCache>
                <c:formatCode>General</c:formatCode>
                <c:ptCount val="3"/>
                <c:pt idx="0">
                  <c:v>1590</c:v>
                </c:pt>
                <c:pt idx="1">
                  <c:v>-170</c:v>
                </c:pt>
                <c:pt idx="2">
                  <c:v>-234</c:v>
                </c:pt>
              </c:numCache>
            </c:numRef>
          </c:val>
          <c:extLst>
            <c:ext xmlns:c16="http://schemas.microsoft.com/office/drawing/2014/chart" uri="{C3380CC4-5D6E-409C-BE32-E72D297353CC}">
              <c16:uniqueId val="{00000000-10FC-4DD6-B66C-90575808D620}"/>
            </c:ext>
          </c:extLst>
        </c:ser>
        <c:dLbls>
          <c:showLegendKey val="0"/>
          <c:showVal val="0"/>
          <c:showCatName val="0"/>
          <c:showSerName val="0"/>
          <c:showPercent val="0"/>
          <c:showBubbleSize val="0"/>
        </c:dLbls>
        <c:gapWidth val="150"/>
        <c:shape val="box"/>
        <c:axId val="317013184"/>
        <c:axId val="317016096"/>
        <c:axId val="622390208"/>
      </c:bar3DChart>
      <c:catAx>
        <c:axId val="31701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17016096"/>
        <c:crosses val="autoZero"/>
        <c:auto val="1"/>
        <c:lblAlgn val="ctr"/>
        <c:lblOffset val="100"/>
        <c:noMultiLvlLbl val="0"/>
      </c:catAx>
      <c:valAx>
        <c:axId val="3170160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13184"/>
        <c:crosses val="autoZero"/>
        <c:crossBetween val="between"/>
      </c:valAx>
      <c:serAx>
        <c:axId val="6223902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16096"/>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 Trading performance dashboard project.xlsx]pivot tables!PivotTable10</c:name>
    <c:fmtId val="0"/>
  </c:pivotSource>
  <c:chart>
    <c:title>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ofPieChart>
        <c:ofPieType val="bar"/>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tables'!$A$4:$A$7</c:f>
              <c:strCache>
                <c:ptCount val="3"/>
                <c:pt idx="0">
                  <c:v>BTC/USD</c:v>
                </c:pt>
                <c:pt idx="1">
                  <c:v>EURUSD</c:v>
                </c:pt>
                <c:pt idx="2">
                  <c:v>XAUUSD</c:v>
                </c:pt>
              </c:strCache>
            </c:strRef>
          </c:cat>
          <c:val>
            <c:numRef>
              <c:f>'pivot tables'!$B$4:$B$7</c:f>
              <c:numCache>
                <c:formatCode>General</c:formatCode>
                <c:ptCount val="3"/>
                <c:pt idx="0">
                  <c:v>826</c:v>
                </c:pt>
                <c:pt idx="1">
                  <c:v>-160</c:v>
                </c:pt>
                <c:pt idx="2">
                  <c:v>520</c:v>
                </c:pt>
              </c:numCache>
            </c:numRef>
          </c:val>
          <c:extLst>
            <c:ext xmlns:c16="http://schemas.microsoft.com/office/drawing/2014/chart" uri="{C3380CC4-5D6E-409C-BE32-E72D297353CC}">
              <c16:uniqueId val="{00000000-D410-40F7-BB07-89CF522922A0}"/>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 Trading performance dashboard project.xlsx]pivot tables!PivotTable10</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'pivot tables'!$A$4:$A$7</c:f>
              <c:strCache>
                <c:ptCount val="3"/>
                <c:pt idx="0">
                  <c:v>BTC/USD</c:v>
                </c:pt>
                <c:pt idx="1">
                  <c:v>EURUSD</c:v>
                </c:pt>
                <c:pt idx="2">
                  <c:v>XAUUSD</c:v>
                </c:pt>
              </c:strCache>
            </c:strRef>
          </c:cat>
          <c:val>
            <c:numRef>
              <c:f>'pivot tables'!$B$4:$B$7</c:f>
              <c:numCache>
                <c:formatCode>General</c:formatCode>
                <c:ptCount val="3"/>
                <c:pt idx="0">
                  <c:v>826</c:v>
                </c:pt>
                <c:pt idx="1">
                  <c:v>-160</c:v>
                </c:pt>
                <c:pt idx="2">
                  <c:v>520</c:v>
                </c:pt>
              </c:numCache>
            </c:numRef>
          </c:val>
          <c:extLst>
            <c:ext xmlns:c16="http://schemas.microsoft.com/office/drawing/2014/chart" uri="{C3380CC4-5D6E-409C-BE32-E72D297353CC}">
              <c16:uniqueId val="{00000000-72BA-457F-A46D-ABC7ED6761F7}"/>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 Trading performance dashboard project.xlsx]pivot tables!PivotTable10</c:name>
    <c:fmtId val="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Pair</a:t>
            </a:r>
          </a:p>
        </c:rich>
      </c:tx>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4.7098402018502947E-2"/>
          <c:y val="0.325415982576646"/>
          <c:w val="0.73629345112348765"/>
          <c:h val="0.61217266990562347"/>
        </c:manualLayout>
      </c:layout>
      <c:ofPieChart>
        <c:ofPieType val="bar"/>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F8-43CD-95D3-FE5A174212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F8-43CD-95D3-FE5A174212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F8-43CD-95D3-FE5A174212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F8-43CD-95D3-FE5A1742129E}"/>
              </c:ext>
            </c:extLst>
          </c:dPt>
          <c:cat>
            <c:strRef>
              <c:f>'pivot tables'!$A$4:$A$7</c:f>
              <c:strCache>
                <c:ptCount val="3"/>
                <c:pt idx="0">
                  <c:v>BTC/USD</c:v>
                </c:pt>
                <c:pt idx="1">
                  <c:v>EURUSD</c:v>
                </c:pt>
                <c:pt idx="2">
                  <c:v>XAUUSD</c:v>
                </c:pt>
              </c:strCache>
            </c:strRef>
          </c:cat>
          <c:val>
            <c:numRef>
              <c:f>'pivot tables'!$B$4:$B$7</c:f>
              <c:numCache>
                <c:formatCode>General</c:formatCode>
                <c:ptCount val="3"/>
                <c:pt idx="0">
                  <c:v>826</c:v>
                </c:pt>
                <c:pt idx="1">
                  <c:v>-160</c:v>
                </c:pt>
                <c:pt idx="2">
                  <c:v>520</c:v>
                </c:pt>
              </c:numCache>
            </c:numRef>
          </c:val>
          <c:extLst>
            <c:ext xmlns:c16="http://schemas.microsoft.com/office/drawing/2014/chart" uri="{C3380CC4-5D6E-409C-BE32-E72D297353CC}">
              <c16:uniqueId val="{00000008-99F8-43CD-95D3-FE5A1742129E}"/>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 Trading performance dashboard project.xlsx]pivot 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Result</a:t>
            </a:r>
          </a:p>
        </c:rich>
      </c:tx>
      <c:layout>
        <c:manualLayout>
          <c:xMode val="edge"/>
          <c:yMode val="edge"/>
          <c:x val="0.43823116588424715"/>
          <c:y val="0.18114932452528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E9-46FB-9736-7AD04220A6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E9-46FB-9736-7AD04220A60E}"/>
              </c:ext>
            </c:extLst>
          </c:dPt>
          <c:cat>
            <c:strRef>
              <c:f>'pivot tables'!$A$10:$A$12</c:f>
              <c:strCache>
                <c:ptCount val="2"/>
                <c:pt idx="0">
                  <c:v>Loss</c:v>
                </c:pt>
                <c:pt idx="1">
                  <c:v>Win</c:v>
                </c:pt>
              </c:strCache>
            </c:strRef>
          </c:cat>
          <c:val>
            <c:numRef>
              <c:f>'pivot tables'!$B$10:$B$12</c:f>
              <c:numCache>
                <c:formatCode>General</c:formatCode>
                <c:ptCount val="2"/>
                <c:pt idx="0">
                  <c:v>10</c:v>
                </c:pt>
                <c:pt idx="1">
                  <c:v>12</c:v>
                </c:pt>
              </c:numCache>
            </c:numRef>
          </c:val>
          <c:extLst>
            <c:ext xmlns:c16="http://schemas.microsoft.com/office/drawing/2014/chart" uri="{C3380CC4-5D6E-409C-BE32-E72D297353CC}">
              <c16:uniqueId val="{00000004-D5E9-46FB-9736-7AD04220A60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 Trading performance dashboard project.xlsx]pivot tables!PivotTable12</c:name>
    <c:fmtId val="2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Strategy</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12734397211336"/>
          <c:y val="0.23561454818147734"/>
          <c:w val="0.75891098777487975"/>
          <c:h val="0.63289488813898265"/>
        </c:manualLayout>
      </c:layout>
      <c:bar3DChart>
        <c:barDir val="col"/>
        <c:grouping val="standard"/>
        <c:varyColors val="0"/>
        <c:ser>
          <c:idx val="0"/>
          <c:order val="0"/>
          <c:tx>
            <c:strRef>
              <c:f>'pivot tables'!$B$14</c:f>
              <c:strCache>
                <c:ptCount val="1"/>
                <c:pt idx="0">
                  <c:v>Total</c:v>
                </c:pt>
              </c:strCache>
            </c:strRef>
          </c:tx>
          <c:spPr>
            <a:solidFill>
              <a:schemeClr val="accent1"/>
            </a:solidFill>
            <a:ln>
              <a:noFill/>
            </a:ln>
            <a:effectLst/>
            <a:sp3d/>
          </c:spPr>
          <c:invertIfNegative val="0"/>
          <c:cat>
            <c:strRef>
              <c:f>'pivot tables'!$A$15:$A$18</c:f>
              <c:strCache>
                <c:ptCount val="3"/>
                <c:pt idx="0">
                  <c:v>Breakout</c:v>
                </c:pt>
                <c:pt idx="1">
                  <c:v>Reversal</c:v>
                </c:pt>
                <c:pt idx="2">
                  <c:v>Scalping</c:v>
                </c:pt>
              </c:strCache>
            </c:strRef>
          </c:cat>
          <c:val>
            <c:numRef>
              <c:f>'pivot tables'!$B$15:$B$18</c:f>
              <c:numCache>
                <c:formatCode>General</c:formatCode>
                <c:ptCount val="3"/>
                <c:pt idx="0">
                  <c:v>1590</c:v>
                </c:pt>
                <c:pt idx="1">
                  <c:v>-170</c:v>
                </c:pt>
                <c:pt idx="2">
                  <c:v>-234</c:v>
                </c:pt>
              </c:numCache>
            </c:numRef>
          </c:val>
          <c:extLst>
            <c:ext xmlns:c16="http://schemas.microsoft.com/office/drawing/2014/chart" uri="{C3380CC4-5D6E-409C-BE32-E72D297353CC}">
              <c16:uniqueId val="{00000000-804D-4E12-9538-9A69AEA3DDAB}"/>
            </c:ext>
          </c:extLst>
        </c:ser>
        <c:dLbls>
          <c:showLegendKey val="0"/>
          <c:showVal val="0"/>
          <c:showCatName val="0"/>
          <c:showSerName val="0"/>
          <c:showPercent val="0"/>
          <c:showBubbleSize val="0"/>
        </c:dLbls>
        <c:gapWidth val="150"/>
        <c:shape val="box"/>
        <c:axId val="317013184"/>
        <c:axId val="317016096"/>
        <c:axId val="622390208"/>
      </c:bar3DChart>
      <c:catAx>
        <c:axId val="31701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17016096"/>
        <c:crosses val="autoZero"/>
        <c:auto val="1"/>
        <c:lblAlgn val="ctr"/>
        <c:lblOffset val="100"/>
        <c:noMultiLvlLbl val="0"/>
      </c:catAx>
      <c:valAx>
        <c:axId val="3170160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13184"/>
        <c:crosses val="autoZero"/>
        <c:crossBetween val="between"/>
      </c:valAx>
      <c:serAx>
        <c:axId val="6223902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16096"/>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53975</xdr:colOff>
      <xdr:row>0</xdr:row>
      <xdr:rowOff>60325</xdr:rowOff>
    </xdr:from>
    <xdr:to>
      <xdr:col>8</xdr:col>
      <xdr:colOff>76200</xdr:colOff>
      <xdr:row>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193675</xdr:colOff>
      <xdr:row>9</xdr:row>
      <xdr:rowOff>66675</xdr:rowOff>
    </xdr:from>
    <xdr:to>
      <xdr:col>7</xdr:col>
      <xdr:colOff>584200</xdr:colOff>
      <xdr:row>20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168275</xdr:colOff>
      <xdr:row>0</xdr:row>
      <xdr:rowOff>85725</xdr:rowOff>
    </xdr:from>
    <xdr:to>
      <xdr:col>14</xdr:col>
      <xdr:colOff>285750</xdr:colOff>
      <xdr:row>12</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47625</xdr:colOff>
      <xdr:row>13</xdr:row>
      <xdr:rowOff>15875</xdr:rowOff>
    </xdr:from>
    <xdr:to>
      <xdr:col>14</xdr:col>
      <xdr:colOff>19050</xdr:colOff>
      <xdr:row>22</xdr:row>
      <xdr:rowOff>139700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165100</xdr:colOff>
      <xdr:row>4</xdr:row>
      <xdr:rowOff>38100</xdr:rowOff>
    </xdr:from>
    <xdr:to>
      <xdr:col>7</xdr:col>
      <xdr:colOff>504825</xdr:colOff>
      <xdr:row>16</xdr:row>
      <xdr:rowOff>66675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16</xdr:row>
      <xdr:rowOff>107950</xdr:rowOff>
    </xdr:from>
    <xdr:to>
      <xdr:col>7</xdr:col>
      <xdr:colOff>523875</xdr:colOff>
      <xdr:row>25</xdr:row>
      <xdr:rowOff>146050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603250</xdr:colOff>
      <xdr:row>4</xdr:row>
      <xdr:rowOff>44450</xdr:rowOff>
    </xdr:from>
    <xdr:to>
      <xdr:col>14</xdr:col>
      <xdr:colOff>381000</xdr:colOff>
      <xdr:row>25</xdr:row>
      <xdr:rowOff>177800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4</xdr:row>
      <xdr:rowOff>57151</xdr:rowOff>
    </xdr:from>
    <xdr:to>
      <xdr:col>2</xdr:col>
      <xdr:colOff>101600</xdr:colOff>
      <xdr:row>11</xdr:row>
      <xdr:rowOff>63500</xdr:rowOff>
    </xdr:to>
    <mc:AlternateContent xmlns:mc="http://schemas.openxmlformats.org/markup-compatibility/2006">
      <mc:Choice xmlns:a14="http://schemas.microsoft.com/office/drawing/2010/main" Requires="a14">
        <xdr:graphicFrame macro="">
          <xdr:nvGraphicFramePr>
            <xdr:cNvPr id="5" name="Pair"/>
            <xdr:cNvGraphicFramePr/>
          </xdr:nvGraphicFramePr>
          <xdr:xfrm>
            <a:off x="0" y="0"/>
            <a:ext cx="0" cy="0"/>
          </xdr:xfrm>
          <a:graphic>
            <a:graphicData uri="http://schemas.microsoft.com/office/drawing/2010/slicer">
              <sle:slicer xmlns:sle="http://schemas.microsoft.com/office/drawing/2010/slicer" name="Pair"/>
            </a:graphicData>
          </a:graphic>
        </xdr:graphicFrame>
      </mc:Choice>
      <mc:Fallback>
        <xdr:sp macro="" textlink="">
          <xdr:nvSpPr>
            <xdr:cNvPr id="0" name=""/>
            <xdr:cNvSpPr>
              <a:spLocks noTextEdit="1"/>
            </xdr:cNvSpPr>
          </xdr:nvSpPr>
          <xdr:spPr>
            <a:xfrm>
              <a:off x="76200" y="792414"/>
              <a:ext cx="1278689" cy="1293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107951</xdr:rowOff>
    </xdr:from>
    <xdr:to>
      <xdr:col>2</xdr:col>
      <xdr:colOff>107950</xdr:colOff>
      <xdr:row>19</xdr:row>
      <xdr:rowOff>63500</xdr:rowOff>
    </xdr:to>
    <mc:AlternateContent xmlns:mc="http://schemas.openxmlformats.org/markup-compatibility/2006">
      <mc:Choice xmlns:a14="http://schemas.microsoft.com/office/drawing/2010/main" Requires="a14">
        <xdr:graphicFrame macro="">
          <xdr:nvGraphicFramePr>
            <xdr:cNvPr id="6" name="Stragety"/>
            <xdr:cNvGraphicFramePr/>
          </xdr:nvGraphicFramePr>
          <xdr:xfrm>
            <a:off x="0" y="0"/>
            <a:ext cx="0" cy="0"/>
          </xdr:xfrm>
          <a:graphic>
            <a:graphicData uri="http://schemas.microsoft.com/office/drawing/2010/slicer">
              <sle:slicer xmlns:sle="http://schemas.microsoft.com/office/drawing/2010/slicer" name="Stragety"/>
            </a:graphicData>
          </a:graphic>
        </xdr:graphicFrame>
      </mc:Choice>
      <mc:Fallback>
        <xdr:sp macro="" textlink="">
          <xdr:nvSpPr>
            <xdr:cNvPr id="0" name=""/>
            <xdr:cNvSpPr>
              <a:spLocks noTextEdit="1"/>
            </xdr:cNvSpPr>
          </xdr:nvSpPr>
          <xdr:spPr>
            <a:xfrm>
              <a:off x="76200" y="2129925"/>
              <a:ext cx="1285039" cy="1426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19</xdr:row>
      <xdr:rowOff>107951</xdr:rowOff>
    </xdr:from>
    <xdr:to>
      <xdr:col>2</xdr:col>
      <xdr:colOff>101600</xdr:colOff>
      <xdr:row>25</xdr:row>
      <xdr:rowOff>127001</xdr:rowOff>
    </xdr:to>
    <mc:AlternateContent xmlns:mc="http://schemas.openxmlformats.org/markup-compatibility/2006">
      <mc:Choice xmlns:a14="http://schemas.microsoft.com/office/drawing/2010/main" Requires="a14">
        <xdr:graphicFrame macro="">
          <xdr:nvGraphicFramePr>
            <xdr:cNvPr id="7" name="Result"/>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69850" y="3600451"/>
              <a:ext cx="1285039" cy="1121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ms FX" refreshedDate="46164.424085879633" createdVersion="6" refreshedVersion="6" minRefreshableVersion="3" recordCount="22">
  <cacheSource type="worksheet">
    <worksheetSource ref="A1:J23" sheet="clean data"/>
  </cacheSource>
  <cacheFields count="10">
    <cacheField name="Data" numFmtId="0">
      <sharedItems containsDate="1" containsMixedTypes="1" minDate="2026-05-01T00:00:00" maxDate="2026-05-20T00:00:00"/>
    </cacheField>
    <cacheField name="Pair" numFmtId="0">
      <sharedItems count="3">
        <s v="BTC/USD"/>
        <s v="XAUUSD"/>
        <s v="EURUSD"/>
      </sharedItems>
    </cacheField>
    <cacheField name="Trade Type" numFmtId="0">
      <sharedItems/>
    </cacheField>
    <cacheField name="Entery Price" numFmtId="0">
      <sharedItems containsSemiMixedTypes="0" containsString="0" containsNumber="1" minValue="1.1240000000000001" maxValue="94200"/>
    </cacheField>
    <cacheField name="Exit Price" numFmtId="0">
      <sharedItems containsSemiMixedTypes="0" containsString="0" containsNumber="1" minValue="1.1279999999999999" maxValue="94850"/>
    </cacheField>
    <cacheField name="Lot Size" numFmtId="0">
      <sharedItems containsSemiMixedTypes="0" containsString="0" containsNumber="1" minValue="0.2" maxValue="1.5"/>
    </cacheField>
    <cacheField name="Risk %" numFmtId="0">
      <sharedItems containsSemiMixedTypes="0" containsString="0" containsNumber="1" minValue="1" maxValue="2"/>
    </cacheField>
    <cacheField name="Profit/Loss" numFmtId="0">
      <sharedItems containsSemiMixedTypes="0" containsString="0" containsNumber="1" containsInteger="1" minValue="-250" maxValue="400"/>
    </cacheField>
    <cacheField name="Stragety" numFmtId="0">
      <sharedItems count="3">
        <s v="Breakout"/>
        <s v="Reversal"/>
        <s v="Scalping"/>
      </sharedItems>
    </cacheField>
    <cacheField name="Result" numFmtId="0">
      <sharedItems count="2">
        <s v="Win"/>
        <s v="Los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2">
  <r>
    <d v="2026-05-01T00:00:00"/>
    <x v="0"/>
    <s v="Buy"/>
    <n v="94200"/>
    <n v="94850"/>
    <n v="0.5"/>
    <n v="2"/>
    <n v="325"/>
    <x v="0"/>
    <x v="0"/>
  </r>
  <r>
    <d v="2026-05-02T00:00:00"/>
    <x v="1"/>
    <s v="Sell"/>
    <n v="3345"/>
    <n v="3360"/>
    <n v="1"/>
    <n v="1"/>
    <n v="-150"/>
    <x v="1"/>
    <x v="1"/>
  </r>
  <r>
    <d v="2026-05-03T00:00:00"/>
    <x v="2"/>
    <s v="Buy"/>
    <n v="1.125"/>
    <n v="1.129"/>
    <n v="0.3"/>
    <n v="1.5"/>
    <n v="120"/>
    <x v="2"/>
    <x v="0"/>
  </r>
  <r>
    <d v="2026-05-04T00:00:00"/>
    <x v="0"/>
    <s v="Buy"/>
    <n v="94200"/>
    <n v="94850"/>
    <n v="0.5"/>
    <n v="2"/>
    <n v="325"/>
    <x v="0"/>
    <x v="0"/>
  </r>
  <r>
    <d v="2026-05-05T00:00:00"/>
    <x v="1"/>
    <s v="Sell"/>
    <n v="3345"/>
    <n v="3360"/>
    <n v="1"/>
    <n v="1"/>
    <n v="-150"/>
    <x v="1"/>
    <x v="1"/>
  </r>
  <r>
    <d v="2026-05-06T00:00:00"/>
    <x v="2"/>
    <s v="Buy"/>
    <n v="1.125"/>
    <n v="1.129"/>
    <n v="0.3"/>
    <n v="1.5"/>
    <n v="120"/>
    <x v="2"/>
    <x v="0"/>
  </r>
  <r>
    <d v="2026-05-07T00:00:00"/>
    <x v="0"/>
    <s v="Sell"/>
    <n v="93200"/>
    <n v="92800"/>
    <n v="0.5"/>
    <n v="2"/>
    <n v="-120"/>
    <x v="2"/>
    <x v="1"/>
  </r>
  <r>
    <d v="2026-05-08T00:00:00"/>
    <x v="0"/>
    <s v="Sell"/>
    <n v="93200"/>
    <n v="92400"/>
    <n v="0.5"/>
    <n v="1"/>
    <n v="-150"/>
    <x v="2"/>
    <x v="1"/>
  </r>
  <r>
    <d v="2026-05-09T00:00:00"/>
    <x v="0"/>
    <s v="Sell"/>
    <n v="93200"/>
    <n v="92400"/>
    <n v="0.5"/>
    <n v="2"/>
    <n v="120"/>
    <x v="2"/>
    <x v="0"/>
  </r>
  <r>
    <d v="2026-05-10T00:00:00"/>
    <x v="1"/>
    <s v="Buy"/>
    <n v="3346"/>
    <n v="33450"/>
    <n v="1"/>
    <n v="1"/>
    <n v="-120"/>
    <x v="1"/>
    <x v="1"/>
  </r>
  <r>
    <d v="2026-05-11T00:00:00"/>
    <x v="2"/>
    <s v="Buy"/>
    <n v="1.1240000000000001"/>
    <n v="1.28"/>
    <n v="0.3"/>
    <n v="1.5"/>
    <n v="-150"/>
    <x v="2"/>
    <x v="1"/>
  </r>
  <r>
    <d v="2026-05-12T00:00:00"/>
    <x v="2"/>
    <s v="Buy"/>
    <n v="1.1240000000000001"/>
    <n v="1.28"/>
    <n v="0.3"/>
    <n v="1.5"/>
    <n v="-150"/>
    <x v="2"/>
    <x v="1"/>
  </r>
  <r>
    <d v="2026-05-13T00:00:00"/>
    <x v="2"/>
    <s v="Sell"/>
    <n v="1.1240000000000001"/>
    <n v="1.28"/>
    <n v="0.3"/>
    <n v="1.5"/>
    <n v="-150"/>
    <x v="2"/>
    <x v="1"/>
  </r>
  <r>
    <d v="2026-05-14T00:00:00"/>
    <x v="0"/>
    <s v="Sell"/>
    <n v="89000"/>
    <n v="91000"/>
    <n v="0.5"/>
    <n v="2"/>
    <n v="-250"/>
    <x v="2"/>
    <x v="1"/>
  </r>
  <r>
    <d v="2026-05-15T00:00:00"/>
    <x v="1"/>
    <s v="Buy"/>
    <n v="3336"/>
    <n v="3342"/>
    <n v="1.1000000000000001"/>
    <n v="1"/>
    <n v="400"/>
    <x v="0"/>
    <x v="0"/>
  </r>
  <r>
    <d v="2026-05-16T00:00:00"/>
    <x v="0"/>
    <s v="Sell"/>
    <n v="90000"/>
    <n v="88000"/>
    <n v="0.5"/>
    <n v="2"/>
    <n v="250"/>
    <x v="1"/>
    <x v="0"/>
  </r>
  <r>
    <d v="2026-05-17T00:00:00"/>
    <x v="2"/>
    <s v="Sell"/>
    <n v="1.131"/>
    <n v="1.1279999999999999"/>
    <n v="0.2"/>
    <n v="1"/>
    <n v="100"/>
    <x v="2"/>
    <x v="0"/>
  </r>
  <r>
    <d v="2026-05-18T00:00:00"/>
    <x v="2"/>
    <s v="Buy"/>
    <n v="1.131"/>
    <n v="1.1279999999999999"/>
    <n v="0.2"/>
    <n v="1"/>
    <n v="100"/>
    <x v="2"/>
    <x v="0"/>
  </r>
  <r>
    <d v="2026-05-19T00:00:00"/>
    <x v="1"/>
    <s v="Buy"/>
    <n v="3350"/>
    <n v="3366"/>
    <n v="1.5"/>
    <n v="2"/>
    <n v="300"/>
    <x v="0"/>
    <x v="0"/>
  </r>
  <r>
    <s v="13/11/2026"/>
    <x v="0"/>
    <s v="Sell"/>
    <n v="85000"/>
    <n v="83000"/>
    <n v="0.5"/>
    <n v="2"/>
    <n v="326"/>
    <x v="2"/>
    <x v="0"/>
  </r>
  <r>
    <s v="20/12/2026"/>
    <x v="1"/>
    <s v="Buy"/>
    <n v="3356"/>
    <n v="3360"/>
    <n v="1.2"/>
    <n v="1.5"/>
    <n v="240"/>
    <x v="0"/>
    <x v="0"/>
  </r>
  <r>
    <s v="20/12/2026"/>
    <x v="2"/>
    <s v="Sell"/>
    <n v="1.1619999999999999"/>
    <n v="1.173"/>
    <n v="1.5"/>
    <n v="1"/>
    <n v="-15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14:B18" firstHeaderRow="1" firstDataRow="1" firstDataCol="1"/>
  <pivotFields count="10">
    <pivotField showAll="0"/>
    <pivotField showAll="0">
      <items count="4">
        <item x="0"/>
        <item x="2"/>
        <item x="1"/>
        <item t="default"/>
      </items>
    </pivotField>
    <pivotField showAll="0"/>
    <pivotField showAll="0"/>
    <pivotField showAll="0"/>
    <pivotField showAll="0"/>
    <pivotField showAll="0"/>
    <pivotField dataField="1" showAll="0"/>
    <pivotField axis="axisRow" showAll="0">
      <items count="4">
        <item x="0"/>
        <item x="1"/>
        <item x="2"/>
        <item t="default"/>
      </items>
    </pivotField>
    <pivotField showAll="0">
      <items count="3">
        <item x="1"/>
        <item x="0"/>
        <item t="default"/>
      </items>
    </pivotField>
  </pivotFields>
  <rowFields count="1">
    <field x="8"/>
  </rowFields>
  <rowItems count="4">
    <i>
      <x/>
    </i>
    <i>
      <x v="1"/>
    </i>
    <i>
      <x v="2"/>
    </i>
    <i t="grand">
      <x/>
    </i>
  </rowItems>
  <colItems count="1">
    <i/>
  </colItems>
  <dataFields count="1">
    <dataField name="Sum of Profit/Loss" fld="7" baseField="0" baseItem="0"/>
  </dataFields>
  <chartFormats count="2">
    <chartFormat chart="23"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9:B12" firstHeaderRow="1" firstDataRow="1" firstDataCol="1"/>
  <pivotFields count="1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s>
  <rowFields count="1">
    <field x="9"/>
  </rowFields>
  <rowItems count="3">
    <i>
      <x/>
    </i>
    <i>
      <x v="1"/>
    </i>
    <i t="grand">
      <x/>
    </i>
  </rowItems>
  <colItems count="1">
    <i/>
  </colItems>
  <dataFields count="1">
    <dataField name="Count of Result" fld="9" subtotal="count"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9" count="1" selected="0">
            <x v="0"/>
          </reference>
        </references>
      </pivotArea>
    </chartFormat>
    <chartFormat chart="2"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7" firstHeaderRow="1" firstDataRow="1" firstDataCol="1"/>
  <pivotFields count="10">
    <pivotField showAll="0"/>
    <pivotField axis="axisRow" showAll="0">
      <items count="4">
        <item x="0"/>
        <item x="2"/>
        <item x="1"/>
        <item t="default"/>
      </items>
    </pivotField>
    <pivotField showAll="0"/>
    <pivotField showAll="0"/>
    <pivotField showAll="0"/>
    <pivotField showAll="0"/>
    <pivotField showAll="0"/>
    <pivotField dataField="1" showAll="0"/>
    <pivotField showAll="0"/>
    <pivotField showAll="0"/>
  </pivotFields>
  <rowFields count="1">
    <field x="1"/>
  </rowFields>
  <rowItems count="4">
    <i>
      <x/>
    </i>
    <i>
      <x v="1"/>
    </i>
    <i>
      <x v="2"/>
    </i>
    <i t="grand">
      <x/>
    </i>
  </rowItems>
  <colItems count="1">
    <i/>
  </colItems>
  <dataFields count="1">
    <dataField name="Sum of Profit/Loss" fld="7" baseField="0" baseItem="0"/>
  </dataFields>
  <chartFormats count="6">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ir" sourceName="Pair">
  <pivotTables>
    <pivotTable tabId="3" name="PivotTable12"/>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ragety" sourceName="Stragety">
  <pivotTables>
    <pivotTable tabId="3" name="PivotTable12"/>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sult" sourceName="Result">
  <pivotTables>
    <pivotTable tabId="3" name="PivotTable12"/>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ir" cache="Slicer_Pair" caption="Pair" rowHeight="241300"/>
  <slicer name="Stragety" cache="Slicer_Stragety" caption="Stragety" rowHeight="241300"/>
  <slicer name="Result" cache="Slicer_Result" caption="Result" rowHeight="241300"/>
</slicers>
</file>

<file path=xl/tables/table1.xml><?xml version="1.0" encoding="utf-8"?>
<table xmlns="http://schemas.openxmlformats.org/spreadsheetml/2006/main" id="1" name="Table1" displayName="Table1" ref="A1:J20" totalsRowShown="0">
  <autoFilter ref="A1:J20"/>
  <tableColumns count="10">
    <tableColumn id="1" name="Date"/>
    <tableColumn id="2" name="Pair"/>
    <tableColumn id="3" name="Trade Type"/>
    <tableColumn id="4" name="Entery Price"/>
    <tableColumn id="5" name="Exit Price"/>
    <tableColumn id="6" name="Lot Size"/>
    <tableColumn id="7" name="Risk %"/>
    <tableColumn id="8" name="Profit/Loss"/>
    <tableColumn id="9" name="Stragety"/>
    <tableColumn id="10" name="Res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activeCell="O11" sqref="O11"/>
    </sheetView>
  </sheetViews>
  <sheetFormatPr defaultRowHeight="14.5" x14ac:dyDescent="0.35"/>
  <cols>
    <col min="1" max="1" width="9.54296875" customWidth="1"/>
    <col min="3" max="3" width="12.08984375" customWidth="1"/>
    <col min="4" max="4" width="12.81640625" customWidth="1"/>
    <col min="5" max="5" width="10.453125" customWidth="1"/>
    <col min="6" max="6" width="9.08984375" customWidth="1"/>
    <col min="8" max="8" width="11.90625" customWidth="1"/>
    <col min="9" max="9" width="9.7265625" customWidth="1"/>
  </cols>
  <sheetData>
    <row r="1" spans="1:10" x14ac:dyDescent="0.35">
      <c r="A1" t="s">
        <v>22</v>
      </c>
      <c r="B1" t="s">
        <v>1</v>
      </c>
      <c r="C1" t="s">
        <v>2</v>
      </c>
      <c r="D1" t="s">
        <v>3</v>
      </c>
      <c r="E1" t="s">
        <v>4</v>
      </c>
      <c r="F1" t="s">
        <v>5</v>
      </c>
      <c r="G1" t="s">
        <v>6</v>
      </c>
      <c r="H1" t="s">
        <v>7</v>
      </c>
      <c r="I1" t="s">
        <v>8</v>
      </c>
      <c r="J1" t="s">
        <v>9</v>
      </c>
    </row>
    <row r="2" spans="1:10" x14ac:dyDescent="0.35">
      <c r="A2" s="1">
        <v>46143</v>
      </c>
      <c r="B2" t="s">
        <v>10</v>
      </c>
      <c r="C2" t="s">
        <v>13</v>
      </c>
      <c r="D2">
        <v>94200</v>
      </c>
      <c r="E2">
        <v>94850</v>
      </c>
      <c r="F2">
        <v>0.5</v>
      </c>
      <c r="G2">
        <v>2</v>
      </c>
      <c r="H2">
        <v>325</v>
      </c>
      <c r="I2" t="s">
        <v>15</v>
      </c>
      <c r="J2" t="str">
        <f>IF(H2&gt;0, "Win","Loss")</f>
        <v>Win</v>
      </c>
    </row>
    <row r="3" spans="1:10" x14ac:dyDescent="0.35">
      <c r="A3" s="1">
        <v>46144</v>
      </c>
      <c r="B3" t="s">
        <v>11</v>
      </c>
      <c r="C3" t="s">
        <v>14</v>
      </c>
      <c r="D3">
        <v>3345</v>
      </c>
      <c r="E3">
        <v>3360</v>
      </c>
      <c r="F3">
        <v>1</v>
      </c>
      <c r="G3">
        <v>1</v>
      </c>
      <c r="H3">
        <v>-150</v>
      </c>
      <c r="I3" t="s">
        <v>16</v>
      </c>
      <c r="J3" t="str">
        <f>IF(H3&gt;0, "Win","Loss")</f>
        <v>Loss</v>
      </c>
    </row>
    <row r="4" spans="1:10" x14ac:dyDescent="0.35">
      <c r="A4" s="1">
        <v>46145</v>
      </c>
      <c r="B4" t="s">
        <v>12</v>
      </c>
      <c r="C4" t="s">
        <v>13</v>
      </c>
      <c r="D4">
        <v>1.125</v>
      </c>
      <c r="E4">
        <v>1.129</v>
      </c>
      <c r="F4">
        <v>0.3</v>
      </c>
      <c r="G4">
        <v>1.5</v>
      </c>
      <c r="H4">
        <v>120</v>
      </c>
      <c r="I4" t="s">
        <v>17</v>
      </c>
      <c r="J4" t="str">
        <f>IF(H4&gt;0, "Win","Loss")</f>
        <v>Win</v>
      </c>
    </row>
    <row r="5" spans="1:10" x14ac:dyDescent="0.35">
      <c r="A5" s="1">
        <v>46146</v>
      </c>
      <c r="B5" t="s">
        <v>10</v>
      </c>
      <c r="C5" t="s">
        <v>14</v>
      </c>
      <c r="D5">
        <v>93200</v>
      </c>
      <c r="E5">
        <v>92800</v>
      </c>
      <c r="F5">
        <v>0.5</v>
      </c>
      <c r="G5">
        <v>2</v>
      </c>
      <c r="H5">
        <v>-120</v>
      </c>
      <c r="I5" t="s">
        <v>17</v>
      </c>
      <c r="J5" t="s">
        <v>19</v>
      </c>
    </row>
    <row r="6" spans="1:10" x14ac:dyDescent="0.35">
      <c r="A6" s="1">
        <v>46147</v>
      </c>
      <c r="B6" t="s">
        <v>10</v>
      </c>
      <c r="C6" t="s">
        <v>14</v>
      </c>
      <c r="D6">
        <v>93200</v>
      </c>
      <c r="E6">
        <v>92400</v>
      </c>
      <c r="F6">
        <v>0.5</v>
      </c>
      <c r="G6">
        <v>1</v>
      </c>
      <c r="H6">
        <v>-150</v>
      </c>
      <c r="I6" t="s">
        <v>17</v>
      </c>
      <c r="J6" t="s">
        <v>19</v>
      </c>
    </row>
    <row r="7" spans="1:10" x14ac:dyDescent="0.35">
      <c r="A7" s="1">
        <v>46148</v>
      </c>
      <c r="B7" t="s">
        <v>10</v>
      </c>
      <c r="C7" t="s">
        <v>14</v>
      </c>
      <c r="D7">
        <v>93200</v>
      </c>
      <c r="E7">
        <v>92400</v>
      </c>
      <c r="F7">
        <v>0.5</v>
      </c>
      <c r="G7">
        <v>2</v>
      </c>
      <c r="H7">
        <v>120</v>
      </c>
      <c r="I7" t="s">
        <v>17</v>
      </c>
      <c r="J7" t="s">
        <v>18</v>
      </c>
    </row>
    <row r="8" spans="1:10" x14ac:dyDescent="0.35">
      <c r="A8" s="1">
        <v>46149</v>
      </c>
      <c r="B8" t="s">
        <v>11</v>
      </c>
      <c r="C8" t="s">
        <v>13</v>
      </c>
      <c r="D8">
        <v>3346</v>
      </c>
      <c r="E8">
        <v>33450</v>
      </c>
      <c r="F8">
        <v>1</v>
      </c>
      <c r="G8">
        <v>1</v>
      </c>
      <c r="H8">
        <v>-120</v>
      </c>
      <c r="I8" t="s">
        <v>16</v>
      </c>
      <c r="J8" t="s">
        <v>19</v>
      </c>
    </row>
    <row r="9" spans="1:10" x14ac:dyDescent="0.35">
      <c r="A9" s="1">
        <v>46150</v>
      </c>
      <c r="B9" t="s">
        <v>12</v>
      </c>
      <c r="C9" t="s">
        <v>13</v>
      </c>
      <c r="D9">
        <v>1.1240000000000001</v>
      </c>
      <c r="E9">
        <v>1.28</v>
      </c>
      <c r="F9">
        <v>0.3</v>
      </c>
      <c r="G9">
        <v>1.5</v>
      </c>
      <c r="H9">
        <v>-150</v>
      </c>
      <c r="I9" t="s">
        <v>17</v>
      </c>
      <c r="J9" t="s">
        <v>19</v>
      </c>
    </row>
    <row r="10" spans="1:10" x14ac:dyDescent="0.35">
      <c r="A10" s="1">
        <v>46151</v>
      </c>
      <c r="B10" t="s">
        <v>12</v>
      </c>
      <c r="C10" t="s">
        <v>13</v>
      </c>
      <c r="D10">
        <v>1.1240000000000001</v>
      </c>
      <c r="E10">
        <v>1.28</v>
      </c>
      <c r="F10">
        <v>0.3</v>
      </c>
      <c r="G10">
        <v>1.5</v>
      </c>
      <c r="H10">
        <v>-150</v>
      </c>
      <c r="I10" t="s">
        <v>17</v>
      </c>
      <c r="J10" t="s">
        <v>19</v>
      </c>
    </row>
    <row r="11" spans="1:10" x14ac:dyDescent="0.35">
      <c r="A11" s="1">
        <v>46152</v>
      </c>
      <c r="B11" t="s">
        <v>12</v>
      </c>
      <c r="C11" t="s">
        <v>14</v>
      </c>
      <c r="D11">
        <v>1.1240000000000001</v>
      </c>
      <c r="E11">
        <v>1.28</v>
      </c>
      <c r="F11">
        <v>0.3</v>
      </c>
      <c r="G11">
        <v>1.5</v>
      </c>
      <c r="H11">
        <v>-150</v>
      </c>
      <c r="I11" t="s">
        <v>17</v>
      </c>
      <c r="J11" t="s">
        <v>19</v>
      </c>
    </row>
    <row r="12" spans="1:10" x14ac:dyDescent="0.35">
      <c r="A12" s="1">
        <v>46153</v>
      </c>
      <c r="B12" t="s">
        <v>10</v>
      </c>
      <c r="C12" t="s">
        <v>14</v>
      </c>
      <c r="D12">
        <v>89000</v>
      </c>
      <c r="E12">
        <v>91000</v>
      </c>
      <c r="F12">
        <v>0.5</v>
      </c>
      <c r="G12">
        <v>2</v>
      </c>
      <c r="H12">
        <v>-250</v>
      </c>
      <c r="I12" t="s">
        <v>17</v>
      </c>
      <c r="J12" t="s">
        <v>19</v>
      </c>
    </row>
    <row r="13" spans="1:10" x14ac:dyDescent="0.35">
      <c r="A13" s="1">
        <v>46154</v>
      </c>
      <c r="B13" t="s">
        <v>11</v>
      </c>
      <c r="C13" t="s">
        <v>13</v>
      </c>
      <c r="D13">
        <v>3336</v>
      </c>
      <c r="E13">
        <v>3342</v>
      </c>
      <c r="F13">
        <v>1.1000000000000001</v>
      </c>
      <c r="G13">
        <v>1</v>
      </c>
      <c r="H13">
        <v>400</v>
      </c>
      <c r="I13" t="s">
        <v>15</v>
      </c>
      <c r="J13" t="s">
        <v>18</v>
      </c>
    </row>
    <row r="14" spans="1:10" x14ac:dyDescent="0.35">
      <c r="A14" s="1">
        <v>46155</v>
      </c>
      <c r="B14" t="s">
        <v>10</v>
      </c>
      <c r="C14" t="s">
        <v>14</v>
      </c>
      <c r="D14">
        <v>90000</v>
      </c>
      <c r="E14">
        <v>88000</v>
      </c>
      <c r="F14">
        <v>0.5</v>
      </c>
      <c r="G14">
        <v>2</v>
      </c>
      <c r="H14">
        <v>250</v>
      </c>
      <c r="I14" t="s">
        <v>16</v>
      </c>
      <c r="J14" t="s">
        <v>18</v>
      </c>
    </row>
    <row r="15" spans="1:10" x14ac:dyDescent="0.35">
      <c r="A15" s="1">
        <v>46156</v>
      </c>
      <c r="B15" t="s">
        <v>12</v>
      </c>
      <c r="C15" t="s">
        <v>14</v>
      </c>
      <c r="D15">
        <v>1.131</v>
      </c>
      <c r="E15">
        <v>1.1279999999999999</v>
      </c>
      <c r="F15">
        <v>0.2</v>
      </c>
      <c r="G15">
        <v>1</v>
      </c>
      <c r="H15">
        <v>100</v>
      </c>
      <c r="I15" t="s">
        <v>17</v>
      </c>
      <c r="J15" t="s">
        <v>18</v>
      </c>
    </row>
    <row r="16" spans="1:10" x14ac:dyDescent="0.35">
      <c r="A16" s="1">
        <v>46157</v>
      </c>
      <c r="B16" t="s">
        <v>12</v>
      </c>
      <c r="C16" t="s">
        <v>13</v>
      </c>
      <c r="D16">
        <v>1.131</v>
      </c>
      <c r="E16">
        <v>1.1279999999999999</v>
      </c>
      <c r="F16">
        <v>0.2</v>
      </c>
      <c r="G16">
        <v>1</v>
      </c>
      <c r="H16">
        <v>100</v>
      </c>
      <c r="I16" t="s">
        <v>17</v>
      </c>
      <c r="J16" t="s">
        <v>18</v>
      </c>
    </row>
    <row r="17" spans="1:10" x14ac:dyDescent="0.35">
      <c r="A17" s="1">
        <v>46158</v>
      </c>
      <c r="B17" t="s">
        <v>11</v>
      </c>
      <c r="C17" t="s">
        <v>13</v>
      </c>
      <c r="D17">
        <v>3350</v>
      </c>
      <c r="E17">
        <v>3366</v>
      </c>
      <c r="F17">
        <v>1.5</v>
      </c>
      <c r="G17">
        <v>2</v>
      </c>
      <c r="H17">
        <v>300</v>
      </c>
      <c r="I17" t="s">
        <v>15</v>
      </c>
      <c r="J17" t="s">
        <v>18</v>
      </c>
    </row>
    <row r="18" spans="1:10" x14ac:dyDescent="0.35">
      <c r="A18" s="1">
        <v>46159</v>
      </c>
      <c r="B18" t="s">
        <v>10</v>
      </c>
      <c r="C18" t="s">
        <v>14</v>
      </c>
      <c r="D18">
        <v>85000</v>
      </c>
      <c r="E18">
        <v>83000</v>
      </c>
      <c r="F18">
        <v>0.5</v>
      </c>
      <c r="G18">
        <v>2</v>
      </c>
      <c r="H18">
        <v>326</v>
      </c>
      <c r="I18" t="s">
        <v>17</v>
      </c>
      <c r="J18" t="s">
        <v>18</v>
      </c>
    </row>
    <row r="19" spans="1:10" x14ac:dyDescent="0.35">
      <c r="A19" s="1">
        <v>46160</v>
      </c>
      <c r="B19" t="s">
        <v>11</v>
      </c>
      <c r="C19" t="s">
        <v>13</v>
      </c>
      <c r="D19">
        <v>3356</v>
      </c>
      <c r="E19">
        <v>3360</v>
      </c>
      <c r="F19">
        <v>1.2</v>
      </c>
      <c r="G19">
        <v>1.5</v>
      </c>
      <c r="H19">
        <v>240</v>
      </c>
      <c r="I19" t="s">
        <v>15</v>
      </c>
      <c r="J19" t="s">
        <v>18</v>
      </c>
    </row>
    <row r="20" spans="1:10" x14ac:dyDescent="0.35">
      <c r="A20" s="1">
        <v>46161</v>
      </c>
      <c r="B20" t="s">
        <v>12</v>
      </c>
      <c r="C20" t="s">
        <v>14</v>
      </c>
      <c r="D20">
        <v>1.1619999999999999</v>
      </c>
      <c r="E20">
        <v>1.173</v>
      </c>
      <c r="F20">
        <v>1.5</v>
      </c>
      <c r="G20">
        <v>1</v>
      </c>
      <c r="H20">
        <v>-150</v>
      </c>
      <c r="I20" t="s">
        <v>17</v>
      </c>
      <c r="J20"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selection activeCell="M15" sqref="M15"/>
    </sheetView>
  </sheetViews>
  <sheetFormatPr defaultRowHeight="14.5" x14ac:dyDescent="0.35"/>
  <cols>
    <col min="1" max="1" width="9.54296875" customWidth="1"/>
    <col min="3" max="3" width="10.6328125" customWidth="1"/>
    <col min="4" max="4" width="11.1796875" customWidth="1"/>
    <col min="8" max="8" width="9.90625" customWidth="1"/>
  </cols>
  <sheetData>
    <row r="1" spans="1:10" x14ac:dyDescent="0.35">
      <c r="A1" t="s">
        <v>0</v>
      </c>
      <c r="B1" t="s">
        <v>1</v>
      </c>
      <c r="C1" t="s">
        <v>2</v>
      </c>
      <c r="D1" t="s">
        <v>3</v>
      </c>
      <c r="E1" t="s">
        <v>4</v>
      </c>
      <c r="F1" t="s">
        <v>5</v>
      </c>
      <c r="G1" t="s">
        <v>6</v>
      </c>
      <c r="H1" t="s">
        <v>7</v>
      </c>
      <c r="I1" t="s">
        <v>8</v>
      </c>
      <c r="J1" t="s">
        <v>9</v>
      </c>
    </row>
    <row r="2" spans="1:10" x14ac:dyDescent="0.35">
      <c r="A2" s="2">
        <v>46143</v>
      </c>
      <c r="B2" t="s">
        <v>10</v>
      </c>
      <c r="C2" t="s">
        <v>13</v>
      </c>
      <c r="D2">
        <v>94200</v>
      </c>
      <c r="E2">
        <v>94850</v>
      </c>
      <c r="F2">
        <v>0.5</v>
      </c>
      <c r="G2">
        <v>2</v>
      </c>
      <c r="H2">
        <v>325</v>
      </c>
      <c r="I2" t="s">
        <v>15</v>
      </c>
      <c r="J2" t="s">
        <v>18</v>
      </c>
    </row>
    <row r="3" spans="1:10" x14ac:dyDescent="0.35">
      <c r="A3" s="3">
        <v>46144</v>
      </c>
      <c r="B3" t="s">
        <v>11</v>
      </c>
      <c r="C3" t="s">
        <v>14</v>
      </c>
      <c r="D3">
        <v>3345</v>
      </c>
      <c r="E3">
        <v>3360</v>
      </c>
      <c r="F3">
        <v>1</v>
      </c>
      <c r="G3">
        <v>1</v>
      </c>
      <c r="H3">
        <v>-150</v>
      </c>
      <c r="I3" t="s">
        <v>16</v>
      </c>
      <c r="J3" t="s">
        <v>19</v>
      </c>
    </row>
    <row r="4" spans="1:10" x14ac:dyDescent="0.35">
      <c r="A4" s="2">
        <v>46145</v>
      </c>
      <c r="B4" t="s">
        <v>12</v>
      </c>
      <c r="C4" t="s">
        <v>13</v>
      </c>
      <c r="D4">
        <v>1.125</v>
      </c>
      <c r="E4">
        <v>1.129</v>
      </c>
      <c r="F4">
        <v>0.3</v>
      </c>
      <c r="G4">
        <v>1.5</v>
      </c>
      <c r="H4">
        <v>120</v>
      </c>
      <c r="I4" t="s">
        <v>17</v>
      </c>
      <c r="J4" t="s">
        <v>18</v>
      </c>
    </row>
    <row r="5" spans="1:10" x14ac:dyDescent="0.35">
      <c r="A5" s="3">
        <v>46146</v>
      </c>
      <c r="B5" t="s">
        <v>10</v>
      </c>
      <c r="C5" t="s">
        <v>13</v>
      </c>
      <c r="D5">
        <v>94200</v>
      </c>
      <c r="E5">
        <v>94850</v>
      </c>
      <c r="F5">
        <v>0.5</v>
      </c>
      <c r="G5">
        <v>2</v>
      </c>
      <c r="H5">
        <v>325</v>
      </c>
      <c r="I5" t="s">
        <v>15</v>
      </c>
      <c r="J5" t="s">
        <v>18</v>
      </c>
    </row>
    <row r="6" spans="1:10" x14ac:dyDescent="0.35">
      <c r="A6" s="2">
        <v>46147</v>
      </c>
      <c r="B6" t="s">
        <v>11</v>
      </c>
      <c r="C6" t="s">
        <v>14</v>
      </c>
      <c r="D6">
        <v>3345</v>
      </c>
      <c r="E6">
        <v>3360</v>
      </c>
      <c r="F6">
        <v>1</v>
      </c>
      <c r="G6">
        <v>1</v>
      </c>
      <c r="H6">
        <v>-150</v>
      </c>
      <c r="I6" t="s">
        <v>16</v>
      </c>
      <c r="J6" t="s">
        <v>19</v>
      </c>
    </row>
    <row r="7" spans="1:10" x14ac:dyDescent="0.35">
      <c r="A7" s="3">
        <v>46148</v>
      </c>
      <c r="B7" t="s">
        <v>12</v>
      </c>
      <c r="C7" t="s">
        <v>13</v>
      </c>
      <c r="D7">
        <v>1.125</v>
      </c>
      <c r="E7">
        <v>1.129</v>
      </c>
      <c r="F7">
        <v>0.3</v>
      </c>
      <c r="G7">
        <v>1.5</v>
      </c>
      <c r="H7">
        <v>120</v>
      </c>
      <c r="I7" t="s">
        <v>17</v>
      </c>
      <c r="J7" t="s">
        <v>18</v>
      </c>
    </row>
    <row r="8" spans="1:10" x14ac:dyDescent="0.35">
      <c r="A8" s="2">
        <v>46149</v>
      </c>
      <c r="B8" t="s">
        <v>10</v>
      </c>
      <c r="C8" t="s">
        <v>14</v>
      </c>
      <c r="D8">
        <v>93200</v>
      </c>
      <c r="E8">
        <v>92800</v>
      </c>
      <c r="F8">
        <v>0.5</v>
      </c>
      <c r="G8">
        <v>2</v>
      </c>
      <c r="H8">
        <v>-120</v>
      </c>
      <c r="I8" t="s">
        <v>17</v>
      </c>
      <c r="J8" t="s">
        <v>19</v>
      </c>
    </row>
    <row r="9" spans="1:10" x14ac:dyDescent="0.35">
      <c r="A9" s="3">
        <v>46150</v>
      </c>
      <c r="B9" t="s">
        <v>10</v>
      </c>
      <c r="C9" t="s">
        <v>14</v>
      </c>
      <c r="D9">
        <v>93200</v>
      </c>
      <c r="E9">
        <v>92400</v>
      </c>
      <c r="F9">
        <v>0.5</v>
      </c>
      <c r="G9">
        <v>1</v>
      </c>
      <c r="H9">
        <v>-150</v>
      </c>
      <c r="I9" t="s">
        <v>17</v>
      </c>
      <c r="J9" t="s">
        <v>19</v>
      </c>
    </row>
    <row r="10" spans="1:10" x14ac:dyDescent="0.35">
      <c r="A10" s="2">
        <v>46151</v>
      </c>
      <c r="B10" t="s">
        <v>10</v>
      </c>
      <c r="C10" t="s">
        <v>14</v>
      </c>
      <c r="D10">
        <v>93200</v>
      </c>
      <c r="E10">
        <v>92400</v>
      </c>
      <c r="F10">
        <v>0.5</v>
      </c>
      <c r="G10">
        <v>2</v>
      </c>
      <c r="H10">
        <v>120</v>
      </c>
      <c r="I10" t="s">
        <v>17</v>
      </c>
      <c r="J10" t="s">
        <v>18</v>
      </c>
    </row>
    <row r="11" spans="1:10" x14ac:dyDescent="0.35">
      <c r="A11" s="3">
        <v>46152</v>
      </c>
      <c r="B11" t="s">
        <v>11</v>
      </c>
      <c r="C11" t="s">
        <v>13</v>
      </c>
      <c r="D11">
        <v>3346</v>
      </c>
      <c r="E11">
        <v>33450</v>
      </c>
      <c r="F11">
        <v>1</v>
      </c>
      <c r="G11">
        <v>1</v>
      </c>
      <c r="H11">
        <v>-120</v>
      </c>
      <c r="I11" t="s">
        <v>16</v>
      </c>
      <c r="J11" t="s">
        <v>19</v>
      </c>
    </row>
    <row r="12" spans="1:10" x14ac:dyDescent="0.35">
      <c r="A12" s="2">
        <v>46153</v>
      </c>
      <c r="B12" t="s">
        <v>12</v>
      </c>
      <c r="C12" t="s">
        <v>13</v>
      </c>
      <c r="D12">
        <v>1.1240000000000001</v>
      </c>
      <c r="E12">
        <v>1.28</v>
      </c>
      <c r="F12">
        <v>0.3</v>
      </c>
      <c r="G12">
        <v>1.5</v>
      </c>
      <c r="H12">
        <v>-150</v>
      </c>
      <c r="I12" t="s">
        <v>17</v>
      </c>
      <c r="J12" t="s">
        <v>19</v>
      </c>
    </row>
    <row r="13" spans="1:10" x14ac:dyDescent="0.35">
      <c r="A13" s="3">
        <v>46154</v>
      </c>
      <c r="B13" t="s">
        <v>12</v>
      </c>
      <c r="C13" t="s">
        <v>13</v>
      </c>
      <c r="D13">
        <v>1.1240000000000001</v>
      </c>
      <c r="E13">
        <v>1.28</v>
      </c>
      <c r="F13">
        <v>0.3</v>
      </c>
      <c r="G13">
        <v>1.5</v>
      </c>
      <c r="H13">
        <v>-150</v>
      </c>
      <c r="I13" t="s">
        <v>17</v>
      </c>
      <c r="J13" t="s">
        <v>19</v>
      </c>
    </row>
    <row r="14" spans="1:10" x14ac:dyDescent="0.35">
      <c r="A14" s="2">
        <v>46155</v>
      </c>
      <c r="B14" t="s">
        <v>12</v>
      </c>
      <c r="C14" t="s">
        <v>14</v>
      </c>
      <c r="D14">
        <v>1.1240000000000001</v>
      </c>
      <c r="E14">
        <v>1.28</v>
      </c>
      <c r="F14">
        <v>0.3</v>
      </c>
      <c r="G14">
        <v>1.5</v>
      </c>
      <c r="H14">
        <v>-150</v>
      </c>
      <c r="I14" t="s">
        <v>17</v>
      </c>
      <c r="J14" t="s">
        <v>19</v>
      </c>
    </row>
    <row r="15" spans="1:10" x14ac:dyDescent="0.35">
      <c r="A15" s="3">
        <v>46156</v>
      </c>
      <c r="B15" t="s">
        <v>10</v>
      </c>
      <c r="C15" t="s">
        <v>14</v>
      </c>
      <c r="D15">
        <v>89000</v>
      </c>
      <c r="E15">
        <v>91000</v>
      </c>
      <c r="F15">
        <v>0.5</v>
      </c>
      <c r="G15">
        <v>2</v>
      </c>
      <c r="H15">
        <v>-250</v>
      </c>
      <c r="I15" t="s">
        <v>17</v>
      </c>
      <c r="J15" t="s">
        <v>19</v>
      </c>
    </row>
    <row r="16" spans="1:10" x14ac:dyDescent="0.35">
      <c r="A16" s="2">
        <v>46157</v>
      </c>
      <c r="B16" t="s">
        <v>11</v>
      </c>
      <c r="C16" t="s">
        <v>13</v>
      </c>
      <c r="D16">
        <v>3336</v>
      </c>
      <c r="E16">
        <v>3342</v>
      </c>
      <c r="F16">
        <v>1.1000000000000001</v>
      </c>
      <c r="G16">
        <v>1</v>
      </c>
      <c r="H16">
        <v>400</v>
      </c>
      <c r="I16" t="s">
        <v>15</v>
      </c>
      <c r="J16" t="s">
        <v>18</v>
      </c>
    </row>
    <row r="17" spans="1:10" x14ac:dyDescent="0.35">
      <c r="A17" s="3">
        <v>46158</v>
      </c>
      <c r="B17" t="s">
        <v>10</v>
      </c>
      <c r="C17" t="s">
        <v>14</v>
      </c>
      <c r="D17">
        <v>90000</v>
      </c>
      <c r="E17">
        <v>88000</v>
      </c>
      <c r="F17">
        <v>0.5</v>
      </c>
      <c r="G17">
        <v>2</v>
      </c>
      <c r="H17">
        <v>250</v>
      </c>
      <c r="I17" t="s">
        <v>16</v>
      </c>
      <c r="J17" t="s">
        <v>18</v>
      </c>
    </row>
    <row r="18" spans="1:10" x14ac:dyDescent="0.35">
      <c r="A18" s="2">
        <v>46159</v>
      </c>
      <c r="B18" t="s">
        <v>12</v>
      </c>
      <c r="C18" t="s">
        <v>14</v>
      </c>
      <c r="D18">
        <v>1.131</v>
      </c>
      <c r="E18">
        <v>1.1279999999999999</v>
      </c>
      <c r="F18">
        <v>0.2</v>
      </c>
      <c r="G18">
        <v>1</v>
      </c>
      <c r="H18">
        <v>100</v>
      </c>
      <c r="I18" t="s">
        <v>17</v>
      </c>
      <c r="J18" t="s">
        <v>18</v>
      </c>
    </row>
    <row r="19" spans="1:10" x14ac:dyDescent="0.35">
      <c r="A19" s="3">
        <v>46160</v>
      </c>
      <c r="B19" t="s">
        <v>12</v>
      </c>
      <c r="C19" t="s">
        <v>13</v>
      </c>
      <c r="D19">
        <v>1.131</v>
      </c>
      <c r="E19">
        <v>1.1279999999999999</v>
      </c>
      <c r="F19">
        <v>0.2</v>
      </c>
      <c r="G19">
        <v>1</v>
      </c>
      <c r="H19">
        <v>100</v>
      </c>
      <c r="I19" t="s">
        <v>17</v>
      </c>
      <c r="J19" t="s">
        <v>18</v>
      </c>
    </row>
    <row r="20" spans="1:10" x14ac:dyDescent="0.35">
      <c r="A20" s="2">
        <v>46161</v>
      </c>
      <c r="B20" t="s">
        <v>11</v>
      </c>
      <c r="C20" t="s">
        <v>13</v>
      </c>
      <c r="D20">
        <v>3350</v>
      </c>
      <c r="E20">
        <v>3366</v>
      </c>
      <c r="F20">
        <v>1.5</v>
      </c>
      <c r="G20">
        <v>2</v>
      </c>
      <c r="H20">
        <v>300</v>
      </c>
      <c r="I20" t="s">
        <v>15</v>
      </c>
      <c r="J20" t="s">
        <v>18</v>
      </c>
    </row>
    <row r="21" spans="1:10" x14ac:dyDescent="0.35">
      <c r="A21" t="s">
        <v>21</v>
      </c>
      <c r="B21" t="s">
        <v>10</v>
      </c>
      <c r="C21" t="s">
        <v>14</v>
      </c>
      <c r="D21">
        <v>85000</v>
      </c>
      <c r="E21">
        <v>83000</v>
      </c>
      <c r="F21">
        <v>0.5</v>
      </c>
      <c r="G21">
        <v>2</v>
      </c>
      <c r="H21">
        <v>326</v>
      </c>
      <c r="I21" t="s">
        <v>17</v>
      </c>
      <c r="J21" t="s">
        <v>18</v>
      </c>
    </row>
    <row r="22" spans="1:10" x14ac:dyDescent="0.35">
      <c r="A22" t="s">
        <v>20</v>
      </c>
      <c r="B22" t="s">
        <v>11</v>
      </c>
      <c r="C22" t="s">
        <v>13</v>
      </c>
      <c r="D22">
        <v>3356</v>
      </c>
      <c r="E22">
        <v>3360</v>
      </c>
      <c r="F22">
        <v>1.2</v>
      </c>
      <c r="G22">
        <v>1.5</v>
      </c>
      <c r="H22">
        <v>240</v>
      </c>
      <c r="I22" t="s">
        <v>15</v>
      </c>
      <c r="J22" t="s">
        <v>18</v>
      </c>
    </row>
    <row r="23" spans="1:10" x14ac:dyDescent="0.35">
      <c r="A23" t="s">
        <v>20</v>
      </c>
      <c r="B23" t="s">
        <v>12</v>
      </c>
      <c r="C23" t="s">
        <v>14</v>
      </c>
      <c r="D23">
        <v>1.1619999999999999</v>
      </c>
      <c r="E23">
        <v>1.173</v>
      </c>
      <c r="F23">
        <v>1.5</v>
      </c>
      <c r="G23">
        <v>1</v>
      </c>
      <c r="H23">
        <v>-150</v>
      </c>
      <c r="I23" t="s">
        <v>17</v>
      </c>
      <c r="J23"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8"/>
  <sheetViews>
    <sheetView workbookViewId="0">
      <selection activeCell="B5" sqref="B5"/>
    </sheetView>
  </sheetViews>
  <sheetFormatPr defaultRowHeight="14.5" x14ac:dyDescent="0.35"/>
  <cols>
    <col min="1" max="1" width="12.36328125" bestFit="1" customWidth="1"/>
    <col min="2" max="2" width="16.26953125" customWidth="1"/>
  </cols>
  <sheetData>
    <row r="3" spans="1:2" x14ac:dyDescent="0.35">
      <c r="A3" s="4" t="s">
        <v>23</v>
      </c>
      <c r="B3" t="s">
        <v>25</v>
      </c>
    </row>
    <row r="4" spans="1:2" x14ac:dyDescent="0.35">
      <c r="A4" s="5" t="s">
        <v>10</v>
      </c>
      <c r="B4" s="6">
        <v>826</v>
      </c>
    </row>
    <row r="5" spans="1:2" x14ac:dyDescent="0.35">
      <c r="A5" s="5" t="s">
        <v>12</v>
      </c>
      <c r="B5" s="6">
        <v>-160</v>
      </c>
    </row>
    <row r="6" spans="1:2" x14ac:dyDescent="0.35">
      <c r="A6" s="5" t="s">
        <v>11</v>
      </c>
      <c r="B6" s="6">
        <v>520</v>
      </c>
    </row>
    <row r="7" spans="1:2" x14ac:dyDescent="0.35">
      <c r="A7" s="5" t="s">
        <v>24</v>
      </c>
      <c r="B7" s="6">
        <v>1186</v>
      </c>
    </row>
    <row r="9" spans="1:2" x14ac:dyDescent="0.35">
      <c r="A9" s="4" t="s">
        <v>23</v>
      </c>
      <c r="B9" t="s">
        <v>26</v>
      </c>
    </row>
    <row r="10" spans="1:2" x14ac:dyDescent="0.35">
      <c r="A10" s="5" t="s">
        <v>19</v>
      </c>
      <c r="B10" s="6">
        <v>10</v>
      </c>
    </row>
    <row r="11" spans="1:2" x14ac:dyDescent="0.35">
      <c r="A11" s="5" t="s">
        <v>18</v>
      </c>
      <c r="B11" s="6">
        <v>12</v>
      </c>
    </row>
    <row r="12" spans="1:2" x14ac:dyDescent="0.35">
      <c r="A12" s="5" t="s">
        <v>24</v>
      </c>
      <c r="B12" s="6">
        <v>22</v>
      </c>
    </row>
    <row r="14" spans="1:2" x14ac:dyDescent="0.35">
      <c r="A14" s="4" t="s">
        <v>23</v>
      </c>
      <c r="B14" t="s">
        <v>25</v>
      </c>
    </row>
    <row r="15" spans="1:2" x14ac:dyDescent="0.35">
      <c r="A15" s="5" t="s">
        <v>15</v>
      </c>
      <c r="B15" s="6">
        <v>1590</v>
      </c>
    </row>
    <row r="16" spans="1:2" x14ac:dyDescent="0.35">
      <c r="A16" s="5" t="s">
        <v>16</v>
      </c>
      <c r="B16" s="6">
        <v>-170</v>
      </c>
    </row>
    <row r="17" spans="1:2" x14ac:dyDescent="0.35">
      <c r="A17" s="5" t="s">
        <v>17</v>
      </c>
      <c r="B17" s="6">
        <v>-234</v>
      </c>
    </row>
    <row r="18" spans="1:2" x14ac:dyDescent="0.35">
      <c r="A18" s="5" t="s">
        <v>24</v>
      </c>
      <c r="B18" s="6">
        <v>1186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showGridLines="0" tabSelected="1" zoomScale="76" zoomScaleNormal="76" workbookViewId="0">
      <selection activeCell="Q6" sqref="Q6"/>
    </sheetView>
  </sheetViews>
  <sheetFormatPr defaultRowHeight="14.5" x14ac:dyDescent="0.35"/>
  <cols>
    <col min="1" max="1" width="9.1796875" customWidth="1"/>
  </cols>
  <sheetData>
    <row r="1" spans="1:15" x14ac:dyDescent="0.35">
      <c r="A1" s="9" t="s">
        <v>27</v>
      </c>
      <c r="B1" s="7"/>
      <c r="C1" s="7"/>
      <c r="D1" s="7"/>
      <c r="E1" s="7"/>
      <c r="F1" s="7"/>
      <c r="G1" s="7"/>
      <c r="H1" s="7"/>
      <c r="I1" s="7"/>
      <c r="J1" s="7"/>
      <c r="K1" s="7"/>
      <c r="L1" s="7"/>
      <c r="M1" s="7"/>
      <c r="N1" s="7"/>
      <c r="O1" s="8"/>
    </row>
    <row r="2" spans="1:15" x14ac:dyDescent="0.35">
      <c r="A2" s="7"/>
      <c r="B2" s="7"/>
      <c r="C2" s="7"/>
      <c r="D2" s="7"/>
      <c r="E2" s="7"/>
      <c r="F2" s="7"/>
      <c r="G2" s="7"/>
      <c r="H2" s="7"/>
      <c r="I2" s="7"/>
      <c r="J2" s="7"/>
      <c r="K2" s="7"/>
      <c r="L2" s="7"/>
      <c r="M2" s="7"/>
      <c r="N2" s="7"/>
      <c r="O2" s="8"/>
    </row>
    <row r="3" spans="1:15" x14ac:dyDescent="0.35">
      <c r="A3" s="7"/>
      <c r="B3" s="7"/>
      <c r="C3" s="7"/>
      <c r="D3" s="7"/>
      <c r="E3" s="7"/>
      <c r="F3" s="7"/>
      <c r="G3" s="7"/>
      <c r="H3" s="7"/>
      <c r="I3" s="7"/>
      <c r="J3" s="7"/>
      <c r="K3" s="7"/>
      <c r="L3" s="7"/>
      <c r="M3" s="7"/>
      <c r="N3" s="7"/>
      <c r="O3" s="8"/>
    </row>
    <row r="4" spans="1:15" x14ac:dyDescent="0.35">
      <c r="A4" s="7"/>
      <c r="B4" s="7"/>
      <c r="C4" s="7"/>
      <c r="D4" s="7"/>
      <c r="E4" s="7"/>
      <c r="F4" s="7"/>
      <c r="G4" s="7"/>
      <c r="H4" s="7"/>
      <c r="I4" s="7"/>
      <c r="J4" s="7"/>
      <c r="K4" s="7"/>
      <c r="L4" s="7"/>
      <c r="M4" s="7"/>
      <c r="N4" s="7"/>
      <c r="O4" s="8"/>
    </row>
  </sheetData>
  <mergeCells count="1">
    <mergeCell ref="A1:N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sms FX</dc:creator>
  <cp:lastModifiedBy>sms FX</cp:lastModifiedBy>
  <dcterms:created xsi:type="dcterms:W3CDTF">2026-05-22T15:17:44Z</dcterms:created>
  <dcterms:modified xsi:type="dcterms:W3CDTF">2026-05-22T18:04:21Z</dcterms:modified>
</cp:coreProperties>
</file>